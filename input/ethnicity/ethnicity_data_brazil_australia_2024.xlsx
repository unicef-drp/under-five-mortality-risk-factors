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ell\Dropbox\UNICEF Work\IGME report etc\2025\Equity brochure\Ethnicity\"/>
    </mc:Choice>
  </mc:AlternateContent>
  <xr:revisionPtr revIDLastSave="0" documentId="13_ncr:1_{657D6533-D186-42BD-A852-26786778A2E5}" xr6:coauthVersionLast="47" xr6:coauthVersionMax="47" xr10:uidLastSave="{00000000-0000-0000-0000-000000000000}"/>
  <bookViews>
    <workbookView xWindow="-110" yWindow="-110" windowWidth="19420" windowHeight="11500" activeTab="1" xr2:uid="{8786535F-5D28-4CF3-8E7F-B022E62A7D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E7" i="1"/>
  <c r="D12" i="1"/>
  <c r="D11" i="1"/>
  <c r="D5" i="1"/>
</calcChain>
</file>

<file path=xl/sharedStrings.xml><?xml version="1.0" encoding="utf-8"?>
<sst xmlns="http://schemas.openxmlformats.org/spreadsheetml/2006/main" count="45" uniqueCount="24">
  <si>
    <t>deahts total</t>
  </si>
  <si>
    <t>Non-indigenous</t>
  </si>
  <si>
    <t>Indigenous</t>
  </si>
  <si>
    <t>year</t>
  </si>
  <si>
    <t>group</t>
  </si>
  <si>
    <t>ind</t>
  </si>
  <si>
    <t>value</t>
  </si>
  <si>
    <t>deaths 0-4</t>
  </si>
  <si>
    <t>births</t>
  </si>
  <si>
    <t xml:space="preserve">proportion of total indigenous deaths that are female aged 0-4 </t>
  </si>
  <si>
    <t xml:space="preserve">proportion of total indigenous deaths that are male aged 0-4 </t>
  </si>
  <si>
    <t>u5mr</t>
  </si>
  <si>
    <t>Total</t>
  </si>
  <si>
    <t>value_derived</t>
  </si>
  <si>
    <t>Country</t>
  </si>
  <si>
    <t>Australia</t>
  </si>
  <si>
    <t>Brazil</t>
  </si>
  <si>
    <t>Ethnicity</t>
  </si>
  <si>
    <t>Year</t>
  </si>
  <si>
    <t>U5MR</t>
  </si>
  <si>
    <t>Yellow</t>
  </si>
  <si>
    <t>White</t>
  </si>
  <si>
    <t>Brown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</si>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</sst>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D23B-4AD2-42E3-8002-6BDEA2EAB353}">
  <dimension ref="A1:E12"/>
  <sheetViews>
    <sheetView workbookViewId="0">
      <selection activeCell="E12" sqref="A1:E12"/>
    </sheetView>
  </sheetViews>
  <sheetFormatPr defaultColWidth="16.90625" defaultRowHeight="14.5" x14ac:dyDescent="0.35"/>
  <cols>
    <col min="1" max="2" width="16.90625" style="1"/>
    <col min="3" max="3" width="25.81640625" style="1" customWidth="1"/>
    <col min="4" max="16384" width="16.90625" style="1"/>
  </cols>
  <sheetData>
    <row r="1" spans="1:5" x14ac:dyDescent="0.35">
      <c r="A1" s="2" t="s">
        <v>4</v>
      </c>
      <c r="B1" s="2" t="s">
        <v>3</v>
      </c>
      <c r="C1" s="2" t="s">
        <v>5</v>
      </c>
      <c r="D1" s="2" t="s">
        <v>6</v>
      </c>
      <c r="E1" s="2" t="s">
        <v>13</v>
      </c>
    </row>
    <row r="2" spans="1:5" x14ac:dyDescent="0.35">
      <c r="A2" s="3" t="s">
        <v>2</v>
      </c>
      <c r="B2" s="3">
        <v>2024</v>
      </c>
      <c r="C2" s="3" t="s">
        <v>0</v>
      </c>
      <c r="D2" s="3">
        <v>5603</v>
      </c>
      <c r="E2" s="3"/>
    </row>
    <row r="3" spans="1:5" x14ac:dyDescent="0.35">
      <c r="A3" s="3" t="s">
        <v>1</v>
      </c>
      <c r="B3" s="3">
        <v>2024</v>
      </c>
      <c r="C3" s="3" t="s">
        <v>0</v>
      </c>
      <c r="D3" s="3">
        <v>181289</v>
      </c>
      <c r="E3" s="3"/>
    </row>
    <row r="4" spans="1:5" x14ac:dyDescent="0.35">
      <c r="A4" s="3" t="s">
        <v>2</v>
      </c>
      <c r="B4" s="3">
        <v>2024</v>
      </c>
      <c r="C4" s="3" t="s">
        <v>8</v>
      </c>
      <c r="D4" s="3">
        <v>25049</v>
      </c>
      <c r="E4" s="3"/>
    </row>
    <row r="5" spans="1:5" x14ac:dyDescent="0.35">
      <c r="A5" s="3" t="s">
        <v>1</v>
      </c>
      <c r="B5" s="3">
        <v>2024</v>
      </c>
      <c r="C5" s="3" t="s">
        <v>8</v>
      </c>
      <c r="D5" s="3">
        <f>292318-D4</f>
        <v>267269</v>
      </c>
      <c r="E5" s="3"/>
    </row>
    <row r="6" spans="1:5" x14ac:dyDescent="0.35">
      <c r="A6" s="3" t="s">
        <v>12</v>
      </c>
      <c r="B6" s="3">
        <v>2024</v>
      </c>
      <c r="C6" s="3" t="s">
        <v>7</v>
      </c>
      <c r="D6" s="3">
        <v>1122</v>
      </c>
      <c r="E6" s="3"/>
    </row>
    <row r="7" spans="1:5" x14ac:dyDescent="0.35">
      <c r="A7" s="3" t="s">
        <v>2</v>
      </c>
      <c r="B7" s="3">
        <v>2024</v>
      </c>
      <c r="C7" s="3" t="s">
        <v>7</v>
      </c>
      <c r="D7" s="4">
        <v>186</v>
      </c>
      <c r="E7" s="4">
        <f>((D9)*D2)+((D10)*D2)</f>
        <v>186.0196</v>
      </c>
    </row>
    <row r="8" spans="1:5" x14ac:dyDescent="0.35">
      <c r="A8" s="3" t="s">
        <v>1</v>
      </c>
      <c r="B8" s="3">
        <v>2024</v>
      </c>
      <c r="C8" s="3" t="s">
        <v>7</v>
      </c>
      <c r="D8" s="4">
        <v>936</v>
      </c>
      <c r="E8" s="4">
        <f>D6-E7</f>
        <v>935.98040000000003</v>
      </c>
    </row>
    <row r="9" spans="1:5" ht="29" x14ac:dyDescent="0.35">
      <c r="A9" s="3" t="s">
        <v>2</v>
      </c>
      <c r="B9" s="3">
        <v>2024</v>
      </c>
      <c r="C9" s="3" t="s">
        <v>10</v>
      </c>
      <c r="D9" s="3">
        <v>1.9599999999999999E-2</v>
      </c>
      <c r="E9" s="3"/>
    </row>
    <row r="10" spans="1:5" ht="43.5" x14ac:dyDescent="0.35">
      <c r="A10" s="3" t="s">
        <v>2</v>
      </c>
      <c r="B10" s="3">
        <v>2024</v>
      </c>
      <c r="C10" s="3" t="s">
        <v>9</v>
      </c>
      <c r="D10" s="3">
        <v>1.3599999999999999E-2</v>
      </c>
      <c r="E10" s="3"/>
    </row>
    <row r="11" spans="1:5" x14ac:dyDescent="0.35">
      <c r="A11" s="5" t="s">
        <v>2</v>
      </c>
      <c r="B11" s="5">
        <v>2024</v>
      </c>
      <c r="C11" s="5" t="s">
        <v>11</v>
      </c>
      <c r="D11" s="5">
        <f>D7/D4*1000</f>
        <v>7.4254461255938358</v>
      </c>
      <c r="E11" s="4"/>
    </row>
    <row r="12" spans="1:5" x14ac:dyDescent="0.35">
      <c r="A12" s="5" t="s">
        <v>1</v>
      </c>
      <c r="B12" s="5">
        <v>2024</v>
      </c>
      <c r="C12" s="5" t="s">
        <v>11</v>
      </c>
      <c r="D12" s="5">
        <f>D8/D5*1000</f>
        <v>3.5020896549917873</v>
      </c>
      <c r="E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6E36-DAE4-4DBC-ADC5-AE459C1CF0AC}">
  <dimension ref="A1:D8"/>
  <sheetViews>
    <sheetView tabSelected="1" workbookViewId="0"/>
  </sheetViews>
  <sheetFormatPr defaultRowHeight="14.5" x14ac:dyDescent="0.35"/>
  <cols>
    <col min="2" max="2" width="18.6328125" customWidth="1"/>
    <col min="4" max="4" width="9.90625" customWidth="1"/>
  </cols>
  <sheetData>
    <row r="1" spans="1:4" x14ac:dyDescent="0.35">
      <c r="A1" s="6" t="s">
        <v>14</v>
      </c>
      <c r="B1" s="6" t="s">
        <v>17</v>
      </c>
      <c r="C1" s="6" t="s">
        <v>18</v>
      </c>
      <c r="D1" s="6" t="s">
        <v>19</v>
      </c>
    </row>
    <row r="2" spans="1:4" x14ac:dyDescent="0.35">
      <c r="A2" s="7" t="s">
        <v>15</v>
      </c>
      <c r="B2" s="7" t="s">
        <v>2</v>
      </c>
      <c r="C2" s="7">
        <v>2024</v>
      </c>
      <c r="D2" s="7">
        <v>7.4</v>
      </c>
    </row>
    <row r="3" spans="1:4" x14ac:dyDescent="0.35">
      <c r="A3" s="7" t="s">
        <v>15</v>
      </c>
      <c r="B3" s="7" t="s">
        <v>1</v>
      </c>
      <c r="C3" s="7">
        <v>2024</v>
      </c>
      <c r="D3" s="7">
        <v>3.5</v>
      </c>
    </row>
    <row r="4" spans="1:4" x14ac:dyDescent="0.35">
      <c r="A4" s="7" t="s">
        <v>16</v>
      </c>
      <c r="B4" s="7" t="s">
        <v>20</v>
      </c>
      <c r="C4" s="7">
        <v>2024</v>
      </c>
      <c r="D4" s="7">
        <v>4.8</v>
      </c>
    </row>
    <row r="5" spans="1:4" x14ac:dyDescent="0.35">
      <c r="A5" s="7" t="s">
        <v>16</v>
      </c>
      <c r="B5" s="7" t="s">
        <v>21</v>
      </c>
      <c r="C5" s="7">
        <v>2024</v>
      </c>
      <c r="D5" s="7">
        <v>17.7</v>
      </c>
    </row>
    <row r="6" spans="1:4" x14ac:dyDescent="0.35">
      <c r="A6" s="7" t="s">
        <v>16</v>
      </c>
      <c r="B6" s="7" t="s">
        <v>2</v>
      </c>
      <c r="C6" s="7">
        <v>2024</v>
      </c>
      <c r="D6" s="7">
        <v>33.6</v>
      </c>
    </row>
    <row r="7" spans="1:4" x14ac:dyDescent="0.35">
      <c r="A7" s="7" t="s">
        <v>16</v>
      </c>
      <c r="B7" s="7" t="s">
        <v>22</v>
      </c>
      <c r="C7" s="7">
        <v>2024</v>
      </c>
      <c r="D7" s="7">
        <v>13.2</v>
      </c>
    </row>
    <row r="8" spans="1:4" x14ac:dyDescent="0.35">
      <c r="A8" s="7" t="s">
        <v>16</v>
      </c>
      <c r="B8" s="7" t="s">
        <v>23</v>
      </c>
      <c r="C8" s="7">
        <v>2024</v>
      </c>
      <c r="D8" s="7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Graeme Wilson Fell</dc:creator>
  <cp:lastModifiedBy>Graeme Fell</cp:lastModifiedBy>
  <dcterms:created xsi:type="dcterms:W3CDTF">2026-07-09T13:46:48Z</dcterms:created>
  <dcterms:modified xsi:type="dcterms:W3CDTF">2026-07-20T13:06:26Z</dcterms:modified>
</cp:coreProperties>
</file>